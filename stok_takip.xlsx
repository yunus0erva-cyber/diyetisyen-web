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Kuru_Depo" sheetId="1" r:id="rId1"/>
    <sheet name="Soguk_Depo" sheetId="2" r:id="rId2"/>
    <sheet name="Donuk_Depo" sheetId="3" r:id="rId3"/>
  </sheets>
</workbook>
</file>

<file path=xl/styles.xml><?xml version="1.0" encoding="utf-8"?>
<styleSheet xmlns="http://schemas.openxmlformats.org/spreadsheetml/2006/main">
  <numFmts count="3">
    <numFmt numFmtId="165" formatCode="#,##0.00 &quot;â‚º&quot;"/>
    <numFmt numFmtId="166" formatCode="#,##0.00"/>
    <numFmt numFmtId="167" formatCode="dd.mm.yyyy"/>
  </numFmts>
  <fonts count="7">
    <!-- 0: Regular -->
    <font>
      <sz val="11"/>
      <name val="Calibri"/>
      <color rgb="000000"/>
    </font>
    <!-- 1: Sheet Title Bold -->
    <font>
      <b/>
      <sz val="14"/>
      <name val="Calibri"/>
      <color rgb="1F4E78"/>
    </font>
    <!-- 2: Sheet Subtitle -->
    <font>
      <i/>
      <sz val="10"/>
      <name val="Calibri"/>
      <color rgb="595959"/>
    </font>
    <!-- 3: Table Header White Bold -->
    <font>
      <b/>
      <sz val="11"/>
      <name val="Calibri"/>
      <color rgb="FFFFFF"/>
    </font>
    <!-- 4: Table Bold Summary -->
    <font>
      <b/>
      <sz val="11"/>
      <name val="Calibri"/>
      <color rgb="1F4E78"/>
    </font>
    <!-- 5: Status Kritik Dark Red Bold -->
    <font>
      <b/>
      <sz val="10"/>
      <name val="Calibri"/>
      <color rgb="9C0006"/>
    </font>
    <!-- 6: Status Normal Dark Green Bold -->
    <font>
      <b/>
      <sz val="10"/>
      <name val="Calibri"/>
      <color rgb="006100"/>
    </font>
  </fonts>
  <fills count="7">
    <!-- 0: none -->
    <fill>
      <patternFill patternType="none"/>
    </fill>
    <!-- 1: gray125 -->
    <fill>
      <patternFill patternType="gray125"/>
    </fill>
    <!-- 2: Deep Corporate Blue Header -->
    <fill>
      <patternFill patternType="solid">
        <fgColor rgb="1F4E78"/>
        <bgColor indexed="64"/>
      </patternFill>
    </fill>
    <!-- 3: Soft Alternate Row Fill -->
    <fill>
      <patternFill patternType="solid">
        <fgColor rgb="F8FAFC"/>
        <bgColor indexed="64"/>
      </patternFill>
    </fill>
    <!-- 4: Soft Red for Kritik -->
    <fill>
      <patternFill patternType="solid">
        <fgColor rgb="FFC7CE"/>
        <bgColor indexed="64"/>
      </patternFill>
    </fill>
    <!-- 5: Soft Green for Normal -->
    <fill>
      <patternFill patternType="solid">
        <fgColor rgb="C6EFCE"/>
        <bgColor indexed="64"/>
      </patternFill>
    </fill>
    <!-- 6: Soft Ice Blue for Total Summary Row -->
    <fill>
      <patternFill patternType="solid">
        <fgColor rgb="D9E1F2"/>
        <bgColor indexed="64"/>
      </patternFill>
    </fill>
  </fills>
  <borders count="4">
    <!-- 0: None -->
    <border>
      <left/>
      <right/>
      <top/>
      <bottom/>
      <diagonal/>
    </border>
    <!-- 1: Thin Gray Data Cell Border --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  <!-- 2: Header Border -->
    <border>
      <left style="thin">
        <color rgb="16365C"/>
      </left>
      <right style="thin">
        <color rgb="16365C"/>
      </right>
      <top style="medium">
        <color rgb="16365C"/>
      </top>
      <bottom style="medium">
        <color rgb="16365C"/>
      </bottom>
    </border>
    <!-- 3: Total Row Border (Top Thin, Bottom Double) -->
    <border>
      <left style="thin">
        <color rgb="D9D9D9"/>
      </left>
      <right style="thin">
        <color rgb="D9D9D9"/>
      </right>
      <top style="thin">
        <color rgb="1F4E78"/>
      </top>
      <bottom style="double">
        <color rgb="1F4E78"/>
      </bottom>
    </border>
  </borders>
  <cellStyleXfs count="1">
    <xf numFmtId="0" fontId="0" fillId="0" borderId="0"/>
  </cellStyleXfs>
  <cellXfs count="16">
    <!-- 0: Default -->
    <xf numFmtId="0" fontId="0" fillId="0" borderId="0" xfId="0"/>
    <!-- 1: Title -->
    <xf numFmtId="0" fontId="1" fillId="0" borderId="0" xfId="0" applyFont="1"/>
    <!-- 2: Subtitle -->
    <xf numFmtId="0" fontId="2" fillId="0" borderId="0" xfId="0" applyFont="1"/>
    <!-- 3: Header Cell -->
    <xf numFmtId="0" fontId="3" fillId="2" borderId="2" xfId="0" applyFont="1" applyFill="1" applyBorder="1" applyAlignment="1">
      <alignment horizontal="center" vertical="center" wrapText="1"/>
    </xf>
    <!-- 4: Text Left -->
    <xf numFmtId="0" fontId="0" fillId="0" borderId="1" xfId="0" applyFont="1" applyBorder="1" applyAlignment="1">
      <alignment horizontal="left" vertical="center"/>
    </xf>
    <!-- 5: Text Center -->
    <xf numFmtId="0" fontId="0" fillId="0" borderId="1" xfId="0" applyFont="1" applyBorder="1" applyAlignment="1">
      <alignment horizontal="center" vertical="center"/>
    </xf>
    <!-- 6: Number Quantity -->
    <xf numFmtId="166" fontId="0" fillId="0" borderId="1" xfId="0" applyFont="1" applyBorder="1" applyNumberFormat="1" applyAlignment="1">
      <alignment horizontal="right" vertical="center"/>
    </xf>
    <!-- 7: Unit Center -->
    <xf numFmtId="0" fontId="0" fillId="0" borderId="1" xfId="0" applyFont="1" applyBorder="1" applyAlignment="1">
      <alignment horizontal="center" vertical="center"/>
    </xf>
    <!-- 8: Currency TL -->
    <xf numFmtId="165" fontId="0" fillId="0" borderId="1" xfId="0" applyFont="1" applyBorder="1" applyNumberFormat="1" applyAlignment="1">
      <alignment horizontal="right" vertical="center"/>
    </xf>
    <!-- 9: Date (dd.mm.yyyy) -->
    <xf numFmtId="167" fontId="0" fillId="0" borderId="1" xfId="0" applyFont="1" applyBorder="1" applyNumberFormat="1" applyAlignment="1">
      <alignment horizontal="center" vertical="center"/>
    </xf>
    <!-- 10: Status Normal (Green) -->
    <xf numFmtId="0" fontId="6" fillId="5" borderId="1" xfId="0" applyFont="1" applyFill="1" applyBorder="1" applyAlignment="1">
      <alignment horizontal="center" vertical="center"/>
    </xf>
    <!-- 11: Status Kritik (Red) -->
    <xf numFmtId="0" fontId="5" fillId="4" borderId="1" xfId="0" applyFont="1" applyFill="1" applyBorder="1" applyAlignment="1">
      <alignment horizontal="center" vertical="center"/>
    </xf>
    <!-- 12: Total Label (Right, Bold, Total Border, Fill 6) -->
    <xf numFmtId="0" fontId="4" fillId="6" borderId="3" xfId="0" applyFont="1" applyFill="1" applyBorder="1" applyAlignment="1">
      <alignment horizontal="right" vertical="center"/>
    </xf>
    <!-- 13: Total Quantity (Right, Bold, Total Border, Fill 6) -->
    <xf numFmtId="166" fontId="4" fillId="6" borderId="3" xfId="0" applyFont="1" applyFill="1" applyBorder="1" applyNumberFormat="1" applyAlignment="1">
      <alignment horizontal="right" vertical="center"/>
    </xf>
    <!-- 14: Total Currency (Right, Bold, Total Border, Fill 6) -->
    <xf numFmtId="165" fontId="4" fillId="6" borderId="3" xfId="0" applyFont="1" applyFill="1" applyBorder="1" applyNumberFormat="1" applyAlignment="1">
      <alignment horizontal="right" vertical="center"/>
    </xf>
    <!-- 15: Total Other Cells (Center, Bold, Total Border, Fill 6) -->
    <xf numFmtId="0" fontId="4" fillId="6" borderId="3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 standalone="yes"?>
<worksheet xmlns="http://schemas.openxmlformats.org/spreadsheetml/2006/main">
  <sheetViews>
    <sheetView tabSelected="1" workbookViewId="0" showGridLines="true"/>
  </sheetViews>
  <sheetFormatPr defaultRowHeight="20"/>
  <cols>
    <col min="1" max="1" width="15" customWidth="1"/>
    <col min="2" max="2" width="38" customWidth="1"/>
    <col min="3" max="3" width="26" customWidth="1"/>
    <col min="4" max="4" width="12" customWidth="1"/>
    <col min="5" max="5" width="16" customWidth="1"/>
    <col min="6" max="6" width="18" customWidth="1"/>
    <col min="7" max="7" width="22" customWidth="1"/>
    <col min="8" max="8" width="20" customWidth="1"/>
    <col min="9" max="9" width="24" customWidth="1"/>
    <col min="10" max="10" width="16" customWidth="1"/>
  </cols>
  <sheetData>
    <row r="1" ht="26" customHeight="1">
      <c r="A1" s="1" t="inlineStr"><is><t>FLORYA MEV KOLEJÄ° - YEMEKHANE & KANTÄ°N Ä°ÅLETMESÄ°</t></is></c>
    </row>
    <row r="2" ht="18" customHeight="1">
      <c r="A2" s="2" t="inlineStr"><is><t>Kuru GÄ±da Deposu Stok Ã‡izelgesi (FEFO KuralÄ± ve AylÄ±k SayÄ±m KontrolÃ¼)</t></is></c>
    </row>
    <row r="3" ht="10" customHeight="1"/>
    <row r="4" ht="28" customHeight="1">
      <c r="A4" s="3" t="inlineStr"><is><t>ÃœrÃ¼n Kodu</t></is></c>
      <c r="B4" s="3" t="inlineStr"><is><t>ÃœrÃ¼n AdÄ±</t></is></c>
      <c r="C4" s="3" t="inlineStr"><is><t>Depo Lokasyonu / Raf No</t></is></c>
      <c r="D4" s="3" t="inlineStr"><is><t>Birim</t></is></c>
      <c r="E4" s="3" t="inlineStr"><is><t>Stok MiktarÄ±</t></is></c>
      <c r="F4" s="3" t="inlineStr"><is><t>Birim Fiyat (TL)</t></is></c>
      <c r="G4" s="3" t="inlineStr"><is><t>Toplam Tutar (TL)</t></is></c>
      <c r="H4" s="3" t="inlineStr"><is><t>Parti No</t></is></c>
      <c r="I4" s="3" t="inlineStr"><is><t>Son TÃ¼ketim Tarihi (SKT)</t></is></c>
      <c r="J4" s="3" t="inlineStr"><is><t>Durum</t></is></c>
    </row>
    <row r="5" ht="22" customHeight="1">
      <c r="A5" s="5" t="inlineStr"><is><t>KD-101</t></is></c>
      <c r="B5" s="4" t="inlineStr"><is><t>Baldo PirinÃ§ (GÃ¶nen MenÅŸeili)</t></is></c>
      <c r="C5" s="5" t="inlineStr"><is><t>KD-A-01</t></is></c>
      <c r="D5" s="7" t="inlineStr"><is><t>kg</t></is></c>
      <c r="E5" s="6"><v>150.00</v></c>
      <c r="F5" s="8"><v>85.00</v></c>
      <c r="G5" s="8"><f>E5*F5</f><v>12750.00</v></c>
      <c r="H5" s="5" t="inlineStr"><is><t>PRT-2026-KD01</t></is></c>
      <c r="I5" s="9"><v>46461</v></c>
      <c r="J5" s="10" t="inlineStr"><is><t>Normal</t></is></c>
    </row>
    <row r="6" ht="22" customHeight="1">
      <c r="A6" s="5" t="inlineStr"><is><t>KD-102</t></is></c>
      <c r="B6" s="4" t="inlineStr"><is><t>Ä°spir Kuru Fasulye (1. SÄ±nÄ±f)</t></is></c>
      <c r="C6" s="5" t="inlineStr"><is><t>KD-A-02</t></is></c>
      <c r="D6" s="7" t="inlineStr"><is><t>kg</t></is></c>
      <c r="E6" s="6"><v>80.00</v></c>
      <c r="F6" s="8"><v>110.00</v></c>
      <c r="G6" s="8"><f>E6*F6</f><v>8800.00</v></c>
      <c r="H6" s="5" t="inlineStr"><is><t>PRT-2026-KD02</t></is></c>
      <c r="I6" s="9"><v>46487</v></c>
      <c r="J6" s="10" t="inlineStr"><is><t>Normal</t></is></c>
    </row>
    <row r="7" ht="22" customHeight="1">
      <c r="A7" s="5" t="inlineStr"><is><t>KD-103</t></is></c>
      <c r="B7" s="4" t="inlineStr"><is><t>AyÃ§iÃ§ek YaÄŸÄ± (5L Teneke)</t></is></c>
      <c r="C7" s="5" t="inlineStr"><is><t>KD-B-01</t></is></c>
      <c r="D7" s="7" t="inlineStr"><is><t>Teneke</t></is></c>
      <c r="E7" s="6"><v>40.00</v></c>
      <c r="F7" s="8"><v>295.00</v></c>
      <c r="G7" s="8"><f>E7*F7</f><v>11800.00</v></c>
      <c r="H7" s="5" t="inlineStr"><is><t>PRT-2026-KD03</t></is></c>
      <c r="I7" s="9"><v>46527</v></c>
      <c r="J7" s="10" t="inlineStr"><is><t>Normal</t></is></c>
    </row>
    <row r="8" ht="22" customHeight="1">
      <c r="A8" s="5" t="inlineStr"><is><t>KD-104</t></is></c>
      <c r="B8" s="4" t="inlineStr"><is><t>Ekmeklik BuÄŸday Unu (Tip 550, 25kg)</t></is></c>
      <c r="C8" s="5" t="inlineStr"><is><t>KD-B-02</t></is></c>
      <c r="D8" s="7" t="inlineStr"><is><t>Koli</t></is></c>
      <c r="E8" s="6"><v>8.00</v></c>
      <c r="F8" s="8"><v>580.00</v></c>
      <c r="G8" s="8"><f>E8*F8</f><v>4640.00</v></c>
      <c r="H8" s="5" t="inlineStr"><is><t>PRT-2026-KD04</t></is></c>
      <c r="I8" s="9"><v>46293</v></c>
      <c r="J8" s="11" t="inlineStr"><is><t>Kritik</t></is></c>
    </row>
    <row r="9" ht="22" customHeight="1">
      <c r="A9" s="5" t="inlineStr"><is><t>KD-105</t></is></c>
      <c r="B9" s="4" t="inlineStr"><is><t>Burgu Makarna (500g x 20 Paket)</t></is></c>
      <c r="C9" s="5" t="inlineStr"><is><t>KD-C-01</t></is></c>
      <c r="D9" s="7" t="inlineStr"><is><t>Koli</t></is></c>
      <c r="E9" s="6"><v>25.00</v></c>
      <c r="F9" s="8"><v>360.00</v></c>
      <c r="G9" s="8"><f>E9*F9</f><v>9000.00</v></c>
      <c r="H9" s="5" t="inlineStr"><is><t>PRT-2026-KD05</t></is></c>
      <c r="I9" s="9"><v>46614</v></c>
      <c r="J9" s="10" t="inlineStr"><is><t>Normal</t></is></c>
    </row>
    <row r="10" ht="22" customHeight="1">
      <c r="A10" s="5" t="inlineStr"><is><t>KD-106</t></is></c>
      <c r="B10" s="4" t="inlineStr"><is><t>Domates SalÃ§asÄ± (4.5kg Teneke)</t></is></c>
      <c r="C10" s="5" t="inlineStr"><is><t>KD-C-02</t></is></c>
      <c r="D10" s="7" t="inlineStr"><is><t>Teneke</t></is></c>
      <c r="E10" s="6"><v>6.00</v></c>
      <c r="F10" s="8"><v>380.00</v></c>
      <c r="G10" s="8"><f>E10*F10</f><v>2280.00</v></c>
      <c r="H10" s="5" t="inlineStr"><is><t>PRT-2026-KD06</t></is></c>
      <c r="I10" s="9"><v>46292</v></c>
      <c r="J10" s="11" t="inlineStr"><is><t>Kritik</t></is></c>
    </row>
    <row r="11" ht="24" customHeight="1">
      <c r="A11" s="12" t="inlineStr"><is><t>GENEL TOPLAM</t></is></c>
      <c r="B11" s="15"/>
      <c r="C11" s="15"/>
      <c r="D11" s="15"/>
      <c r="E11" s="13"><f>SUM(E10)</f><v>309.00</v></c>
      <c r="F11" s="15"/>
      <c r="G11" s="14"><f>SUM(G10)</f><v>49270.00</v></c>
      <c r="H11" s="15"/>
      <c r="I11" s="15"/>
      <c r="J11" s="15"/>
    </row>
  </sheetData>
</worksheet>

</file>

<file path=xl/worksheets/sheet2.xml><?xml version="1.0" encoding="UTF-8" standalone="yes"?>
<worksheet xmlns="http://schemas.openxmlformats.org/spreadsheetml/2006/main">
  <sheetViews>
    <sheetView tabSelected="1" workbookViewId="0" showGridLines="true"/>
  </sheetViews>
  <sheetFormatPr defaultRowHeight="20"/>
  <cols>
    <col min="1" max="1" width="15" customWidth="1"/>
    <col min="2" max="2" width="38" customWidth="1"/>
    <col min="3" max="3" width="26" customWidth="1"/>
    <col min="4" max="4" width="12" customWidth="1"/>
    <col min="5" max="5" width="16" customWidth="1"/>
    <col min="6" max="6" width="18" customWidth="1"/>
    <col min="7" max="7" width="22" customWidth="1"/>
    <col min="8" max="8" width="20" customWidth="1"/>
    <col min="9" max="9" width="24" customWidth="1"/>
    <col min="10" max="10" width="16" customWidth="1"/>
  </cols>
  <sheetData>
    <row r="1" ht="26" customHeight="1">
      <c r="A1" s="1" t="inlineStr"><is><t>FLORYA MEV KOLEJÄ° - YEMEKHANE & KANTÄ°N Ä°ÅLETMESÄ°</t></is></c>
    </row>
    <row r="2" ht="18" customHeight="1">
      <c r="A2" s="2" t="inlineStr"><is><t>SoÄŸuk Hava Deposu Stok Ã‡izelgesi (+4Â°C SoÄŸuk Zincir ve Taze ÃœrÃ¼n Takibi)</t></is></c>
    </row>
    <row r="3" ht="10" customHeight="1"/>
    <row r="4" ht="28" customHeight="1">
      <c r="A4" s="3" t="inlineStr"><is><t>ÃœrÃ¼n Kodu</t></is></c>
      <c r="B4" s="3" t="inlineStr"><is><t>ÃœrÃ¼n AdÄ±</t></is></c>
      <c r="C4" s="3" t="inlineStr"><is><t>Depo Lokasyonu / Raf No</t></is></c>
      <c r="D4" s="3" t="inlineStr"><is><t>Birim</t></is></c>
      <c r="E4" s="3" t="inlineStr"><is><t>Stok MiktarÄ±</t></is></c>
      <c r="F4" s="3" t="inlineStr"><is><t>Birim Fiyat (TL)</t></is></c>
      <c r="G4" s="3" t="inlineStr"><is><t>Toplam Tutar (TL)</t></is></c>
      <c r="H4" s="3" t="inlineStr"><is><t>Parti No</t></is></c>
      <c r="I4" s="3" t="inlineStr"><is><t>Son TÃ¼ketim Tarihi (SKT)</t></is></c>
      <c r="J4" s="3" t="inlineStr"><is><t>Durum</t></is></c>
    </row>
    <row r="5" ht="22" customHeight="1">
      <c r="A5" s="5" t="inlineStr"><is><t>SD-201</t></is></c>
      <c r="B5" s="4" t="inlineStr"><is><t>PastÃ¶rize Taze KaÅŸar Peyniri</t></is></c>
      <c r="C5" s="5" t="inlineStr"><is><t>SD-01-A</t></is></c>
      <c r="D5" s="7" t="inlineStr"><is><t>kg</t></is></c>
      <c r="E5" s="6"><v>35.00</v></c>
      <c r="F5" s="8"><v>320.00</v></c>
      <c r="G5" s="8"><f>E5*F5</f><v>11200.00</v></c>
      <c r="H5" s="5" t="inlineStr"><is><t>PRT-2026-SD01</t></is></c>
      <c r="I5" s="9"><v>46320</v></c>
      <c r="J5" s="10" t="inlineStr"><is><t>Normal</t></is></c>
    </row>
    <row r="6" ht="22" customHeight="1">
      <c r="A6" s="5" t="inlineStr"><is><t>SD-202</t></is></c>
      <c r="B6" s="4" t="inlineStr"><is><t>Tam YaÄŸlÄ± Tava YoÄŸurt (10kg)</t></is></c>
      <c r="C6" s="5" t="inlineStr"><is><t>SD-01-B</t></is></c>
      <c r="D6" s="7" t="inlineStr"><is><t>Koli</t></is></c>
      <c r="E6" s="6"><v>12.00</v></c>
      <c r="F6" s="8"><v>450.00</v></c>
      <c r="G6" s="8"><f>E6*F6</f><v>5400.00</v></c>
      <c r="H6" s="5" t="inlineStr"><is><t>PRT-2026-SD02</t></is></c>
      <c r="I6" s="9"><v>46292</v></c>
      <c r="J6" s="11" t="inlineStr"><is><t>Kritik</t></is></c>
    </row>
    <row r="7" ht="22" customHeight="1">
      <c r="A7" s="5" t="inlineStr"><is><t>SD-203</t></is></c>
      <c r="B7" s="4" t="inlineStr"><is><t>Taze Dana TranÃ§ (KuÅŸbaÅŸÄ±lÄ±k)</t></is></c>
      <c r="C7" s="5" t="inlineStr"><is><t>SD-02-A</t></is></c>
      <c r="D7" s="7" t="inlineStr"><is><t>kg</t></is></c>
      <c r="E7" s="6"><v>65.00</v></c>
      <c r="F7" s="8"><v>590.00</v></c>
      <c r="G7" s="8"><f>E7*F7</f><v>38350.00</v></c>
      <c r="H7" s="5" t="inlineStr"><is><t>PRT-2026-SD03</t></is></c>
      <c r="I7" s="9"><v>46282</v></c>
      <c r="J7" s="11" t="inlineStr"><is><t>Kritik</t></is></c>
    </row>
    <row r="8" ht="22" customHeight="1">
      <c r="A8" s="5" t="inlineStr"><is><t>SD-204</t></is></c>
      <c r="B8" s="4" t="inlineStr"><is><t>Taze BÃ¼tÃ¼n Tavuk But</t></is></c>
      <c r="C8" s="5" t="inlineStr"><is><t>SD-02-B</t></is></c>
      <c r="D8" s="7" t="inlineStr"><is><t>kg</t></is></c>
      <c r="E8" s="6"><v>85.00</v></c>
      <c r="F8" s="8"><v>115.00</v></c>
      <c r="G8" s="8"><f>E8*F8</f><v>9775.00</v></c>
      <c r="H8" s="5" t="inlineStr"><is><t>PRT-2026-SD04</t></is></c>
      <c r="I8" s="9"><v>46283</v></c>
      <c r="J8" s="11" t="inlineStr"><is><t>Kritik</t></is></c>
    </row>
    <row r="9" ht="22" customHeight="1">
      <c r="A9" s="5" t="inlineStr"><is><t>SD-205</t></is></c>
      <c r="B9" s="4" t="inlineStr"><is><t>PastÃ¶rize GÃ¼nlÃ¼k SÃ¼t (%3.1 YaÄŸ, 1L x 12)</t></is></c>
      <c r="C9" s="5" t="inlineStr"><is><t>SD-03-A</t></is></c>
      <c r="D9" s="7" t="inlineStr"><is><t>Koli</t></is></c>
      <c r="E9" s="6"><v>20.00</v></c>
      <c r="F9" s="8"><v>414.00</v></c>
      <c r="G9" s="8"><f>E9*F9</f><v>8280.00</v></c>
      <c r="H9" s="5" t="inlineStr"><is><t>PRT-2026-SD05</t></is></c>
      <c r="I9" s="9"><v>46294</v></c>
      <c r="J9" s="10" t="inlineStr"><is><t>Normal</t></is></c>
    </row>
    <row r="10" ht="22" customHeight="1">
      <c r="A10" s="5" t="inlineStr"><is><t>SD-206</t></is></c>
      <c r="B10" s="4" t="inlineStr"><is><t>Geleneksel YayÄ±k TereyaÄŸÄ± (1kg)</t></is></c>
      <c r="C10" s="5" t="inlineStr"><is><t>SD-03-B</t></is></c>
      <c r="D10" s="7" t="inlineStr"><is><t>kg</t></is></c>
      <c r="E10" s="6"><v>25.00</v></c>
      <c r="F10" s="8"><v>420.00</v></c>
      <c r="G10" s="8"><f>E10*F10</f><v>10500.00</v></c>
      <c r="H10" s="5" t="inlineStr"><is><t>PRT-2026-SD06</t></is></c>
      <c r="I10" s="9"><v>46407</v></c>
      <c r="J10" s="10" t="inlineStr"><is><t>Normal</t></is></c>
    </row>
    <row r="11" ht="24" customHeight="1">
      <c r="A11" s="12" t="inlineStr"><is><t>GENEL TOPLAM</t></is></c>
      <c r="B11" s="15"/>
      <c r="C11" s="15"/>
      <c r="D11" s="15"/>
      <c r="E11" s="13"><f>SUM(E10)</f><v>242.00</v></c>
      <c r="F11" s="15"/>
      <c r="G11" s="14"><f>SUM(G10)</f><v>83505.00</v></c>
      <c r="H11" s="15"/>
      <c r="I11" s="15"/>
      <c r="J11" s="15"/>
    </row>
  </sheetData>
</worksheet>

</file>

<file path=xl/worksheets/sheet3.xml><?xml version="1.0" encoding="UTF-8" standalone="yes"?>
<worksheet xmlns="http://schemas.openxmlformats.org/spreadsheetml/2006/main">
  <sheetViews>
    <sheetView tabSelected="1" workbookViewId="0" showGridLines="true"/>
  </sheetViews>
  <sheetFormatPr defaultRowHeight="20"/>
  <cols>
    <col min="1" max="1" width="15" customWidth="1"/>
    <col min="2" max="2" width="38" customWidth="1"/>
    <col min="3" max="3" width="26" customWidth="1"/>
    <col min="4" max="4" width="12" customWidth="1"/>
    <col min="5" max="5" width="16" customWidth="1"/>
    <col min="6" max="6" width="18" customWidth="1"/>
    <col min="7" max="7" width="22" customWidth="1"/>
    <col min="8" max="8" width="20" customWidth="1"/>
    <col min="9" max="9" width="24" customWidth="1"/>
    <col min="10" max="10" width="16" customWidth="1"/>
  </cols>
  <sheetData>
    <row r="1" ht="26" customHeight="1">
      <c r="A1" s="1" t="inlineStr"><is><t>FLORYA MEV KOLEJÄ° - YEMEKHANE & KANTÄ°N Ä°ÅLETMESÄ°</t></is></c>
    </row>
    <row r="2" ht="18" customHeight="1">
      <c r="A2" s="2" t="inlineStr"><is><t>Donuk Hava Deposu Stok Ã‡izelgesi (-18Â°C Derin Dondurucu ve Åoklu ÃœrÃ¼n Takibi)</t></is></c>
    </row>
    <row r="3" ht="10" customHeight="1"/>
    <row r="4" ht="28" customHeight="1">
      <c r="A4" s="3" t="inlineStr"><is><t>ÃœrÃ¼n Kodu</t></is></c>
      <c r="B4" s="3" t="inlineStr"><is><t>ÃœrÃ¼n AdÄ±</t></is></c>
      <c r="C4" s="3" t="inlineStr"><is><t>Depo Lokasyonu / Raf No</t></is></c>
      <c r="D4" s="3" t="inlineStr"><is><t>Birim</t></is></c>
      <c r="E4" s="3" t="inlineStr"><is><t>Stok MiktarÄ±</t></is></c>
      <c r="F4" s="3" t="inlineStr"><is><t>Birim Fiyat (TL)</t></is></c>
      <c r="G4" s="3" t="inlineStr"><is><t>Toplam Tutar (TL)</t></is></c>
      <c r="H4" s="3" t="inlineStr"><is><t>Parti No</t></is></c>
      <c r="I4" s="3" t="inlineStr"><is><t>Son TÃ¼ketim Tarihi (SKT)</t></is></c>
      <c r="J4" s="3" t="inlineStr"><is><t>Durum</t></is></c>
    </row>
    <row r="5" ht="22" customHeight="1">
      <c r="A5" s="5" t="inlineStr"><is><t>DD-301</t></is></c>
      <c r="B5" s="4" t="inlineStr"><is><t>DondurulmuÅŸ Tane Bezelye (IQF, 10kg)</t></is></c>
      <c r="C5" s="5" t="inlineStr"><is><t>DD-01-A</t></is></c>
      <c r="D5" s="7" t="inlineStr"><is><t>Koli</t></is></c>
      <c r="E5" s="6"><v>30.00</v></c>
      <c r="F5" s="8"><v>480.00</v></c>
      <c r="G5" s="8"><f>E5*F5</f><v>14400.00</v></c>
      <c r="H5" s="5" t="inlineStr"><is><t>PRT-2026-DD01</t></is></c>
      <c r="I5" s="9"><v>46456</v></c>
      <c r="J5" s="10" t="inlineStr"><is><t>Normal</t></is></c>
    </row>
    <row r="6" ht="22" customHeight="1">
      <c r="A6" s="5" t="inlineStr"><is><t>DD-302</t></is></c>
      <c r="B6" s="4" t="inlineStr"><is><t>DondurulmuÅŸ MilfÃ¶y Hamuru (10kg)</t></is></c>
      <c r="C6" s="5" t="inlineStr"><is><t>DD-01-B</t></is></c>
      <c r="D6" s="7" t="inlineStr"><is><t>Koli</t></is></c>
      <c r="E6" s="6"><v>18.00</v></c>
      <c r="F6" s="8"><v>520.00</v></c>
      <c r="G6" s="8"><f>E6*F6</f><v>9360.00</v></c>
      <c r="H6" s="5" t="inlineStr"><is><t>PRT-2026-DD02</t></is></c>
      <c r="I6" s="9"><v>46482</v></c>
      <c r="J6" s="10" t="inlineStr"><is><t>Normal</t></is></c>
    </row>
    <row r="7" ht="22" customHeight="1">
      <c r="A7" s="5" t="inlineStr"><is><t>DD-303</t></is></c>
      <c r="B7" s="4" t="inlineStr"><is><t>DondurulmuÅŸ Dana KuÅŸbaÅŸÄ± Et (Karkas Ã‡Ä±kÄ±ÅŸ)</t></is></c>
      <c r="C7" s="5" t="inlineStr"><is><t>DD-02-A</t></is></c>
      <c r="D7" s="7" t="inlineStr"><is><t>kg</t></is></c>
      <c r="E7" s="6"><v>120.00</v></c>
      <c r="F7" s="8"><v>540.00</v></c>
      <c r="G7" s="8"><f>E7*F7</f><v>64800.00</v></c>
      <c r="H7" s="5" t="inlineStr"><is><t>PRT-2026-DD03</t></is></c>
      <c r="I7" s="9"><v>46471</v></c>
      <c r="J7" s="10" t="inlineStr"><is><t>Normal</t></is></c>
    </row>
    <row r="8" ht="22" customHeight="1">
      <c r="A8" s="5" t="inlineStr"><is><t>DD-304</t></is></c>
      <c r="B8" s="4" t="inlineStr"><is><t>DondurulmuÅŸ TatlÄ± MÄ±sÄ±r (IQF, 10kg)</t></is></c>
      <c r="C8" s="5" t="inlineStr"><is><t>DD-02-B</t></is></c>
      <c r="D8" s="7" t="inlineStr"><is><t>Koli</t></is></c>
      <c r="E8" s="6"><v>5.00</v></c>
      <c r="F8" s="8"><v>440.00</v></c>
      <c r="G8" s="8"><f>E8*F8</f><v>2200.00</v></c>
      <c r="H8" s="5" t="inlineStr"><is><t>PRT-2026-DD04</t></is></c>
      <c r="I8" s="9"><v>46293</v></c>
      <c r="J8" s="11" t="inlineStr"><is><t>Kritik</t></is></c>
    </row>
    <row r="9" ht="24" customHeight="1">
      <c r="A9" s="12" t="inlineStr"><is><t>GENEL TOPLAM</t></is></c>
      <c r="B9" s="15"/>
      <c r="C9" s="15"/>
      <c r="D9" s="15"/>
      <c r="E9" s="13"><f>SUM(E8)</f><v>173.00</v></c>
      <c r="F9" s="15"/>
      <c r="G9" s="14"><f>SUM(G8)</f><v>90760.00</v></c>
      <c r="H9" s="15"/>
      <c r="I9" s="15"/>
      <c r="J9" s="15"/>
    </row>
  </sheetData>
</worksheet>

</file>