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Sayim_Fark_ve_Fire_Raporu" sheetId="1" r:id="rId1"/>
  </sheets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#,##0.00"/>
    <numFmt numFmtId="166" formatCode="+#,##0.00;-#,##0.00;0.00"/>
  </numFmts>
  <fonts count="8">
    <!-- 0: Regular -->
    <font>
      <sz val="10"/>
      <name val="Calibri"/>
      <color rgb="000000"/>
    </font>
    <!-- 1: Title Bold 14pt Navy -->
    <font>
      <b/>
      <sz val="13.5"/>
      <name val="Calibri"/>
      <color rgb="1F4E78"/>
    </font>
    <!-- 2: Subtitle 9.5pt Gray -->
    <font>
      <i/>
      <sz val="9.5"/>
      <name val="Calibri"/>
      <color rgb="595959"/>
    </font>
    <!-- 3: Meta Bold 9.5pt -->
    <font>
      <b/>
      <sz val="9.5"/>
      <name val="Calibri"/>
      <color rgb="1F4E78"/>
    </font>
    <!-- 4: Header Bold 10pt White -->
    <font>
      <b/>
      <sz val="10.5"/>
      <name val="Calibri"/>
      <color rgb="FFFFFF"/>
    </font>
    <!-- 5: Status Kritik Dark Red Bold -->
    <font>
      <b/>
      <sz val="10"/>
      <name val="Calibri"/>
      <color rgb="9C0006"/>
    </font>
    <!-- 6: Status Normal Dark Green Bold -->
    <font>
      <b/>
      <sz val="10"/>
      <name val="Calibri"/>
      <color rgb="006100"/>
    </font>
    <!-- 7: Total Summary Bold -->
    <font>
      <b/>
      <sz val="10.5"/>
      <name val="Calibri"/>
      <color rgb="1F4E78"/>
    </font>
  </fonts>
  <fills count="8">
    <!-- 0: none -->
    <fill>
      <patternFill patternType="none"/>
    </fill>
    <!-- 1: gray125 -->
    <fill>
      <patternFill patternType="gray125"/>
    </fill>
    <!-- 2: Deep Corporate Blue Header -->
    <fill>
      <patternFill patternType="solid">
        <fgColor rgb="1F4E78"/>
        <bgColor indexed="64"/>
      </patternFill>
    </fill>
    <!-- 3: Soft Meta Box Blue -->
    <fill>
      <patternFill patternType="solid">
        <fgColor rgb="F2F5F9"/>
        <bgColor indexed="64"/>
      </patternFill>
    </fill>
    <!-- 4: Kritik Red Fill -->
    <fill>
      <patternFill patternType="solid">
        <fgColor rgb="FFC7CE"/>
        <bgColor indexed="64"/>
      </patternFill>
    </fill>
    <!-- 5: Normal Green Fill -->
    <fill>
      <patternFill patternType="solid">
        <fgColor rgb="C6EFCE"/>
        <bgColor indexed="64"/>
      </patternFill>
    </fill>
    <!-- 6: Total Row Soft Blue-Gray Fill -->
    <fill>
      <patternFill patternType="solid">
        <fgColor rgb="D9E1F2"/>
        <bgColor indexed="64"/>
      </patternFill>
    </fill>
    <!-- 7: Note Box Fill -->
    <fill>
      <patternFill patternType="solid">
        <fgColor rgb="FFFBEB"/>
        <bgColor indexed="64"/>
      </patternFill>
    </fill>
  </fills>
  <borders count="5">
    <!-- 0: None -->
    <border>
      <left/>
      <right/>
      <top/>
      <bottom/>
      <diagonal/>
    </border>
    <!-- 1: Thin Gray Data Cell Border --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  <!-- 2: Header Border -->
    <border>
      <left style="thin">
        <color rgb="16365C"/>
      </left>
      <right style="thin">
        <color rgb="16365C"/>
      </right>
      <top style="medium">
        <color rgb="16365C"/>
      </top>
      <bottom style="medium">
        <color rgb="16365C"/>
      </bottom>
    </border>
    <!-- 3: Meta Box Outer Border --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</border>
    <!-- 4: Total Row Border (Thin Top, Double Bottom) -->
    <border>
      <left style="thin">
        <color rgb="D9D9D9"/>
      </left>
      <right style="thin">
        <color rgb="D9D9D9"/>
      </right>
      <top style="thin">
        <color rgb="1F4E78"/>
      </top>
      <bottom style="double">
        <color rgb="1F4E78"/>
      </bottom>
    </border>
  </borders>
  <cellStyleXfs count="1">
    <xf numFmtId="0" fontId="0" fillId="0" borderId="0"/>
  </cellStyleXfs>
  <cellXfs count="18">
    <!-- 0: Default -->
    <xf numFmtId="0" fontId="0" fillId="0" borderId="0" xfId="0"/>
    <!-- 1: Title -->
    <xf numFmtId="0" fontId="1" fillId="0" borderId="0" xfId="0" applyFont="1" applyAlignment="1">
      <alignment horizontal="center" vertical="center"/>
    </xf>
    <!-- 2: Subtitle -->
    <xf numFmtId="0" fontId="2" fillId="0" borderId="0" xfId="0" applyFont="1" applyAlignment="1">
      <alignment horizontal="center" vertical="center"/>
    </xf>
    <!-- 3: Meta Label -->
    <xf numFmtId="0" fontId="3" fillId="3" borderId="3" xfId="0" applyFont="1" applyFill="1" applyBorder="1" applyAlignment="1">
      <alignment horizontal="left" vertical="center"/>
    </xf>
    <!-- 4: Meta Value -->
    <xf numFmtId="0" fontId="0" fillId="3" borderId="3" xfId="0" applyFont="1" applyFill="1" applyBorder="1" applyAlignment="1">
      <alignment horizontal="left" vertical="center"/>
    </xf>
    <!-- 5: Table Header -->
    <xf numFmtId="0" fontId="4" fillId="2" borderId="2" xfId="0" applyFont="1" applyFill="1" applyBorder="1" applyAlignment="1">
      <alignment horizontal="center" vertical="center" wrapText="1"/>
    </xf>
    <!-- 6: Data Text Center (Depo) -->
    <xf numFmtId="0" fontId="0" fillId="0" borderId="1" xfId="0" applyFont="1" applyBorder="1" applyAlignment="1">
      <alignment horizontal="center" vertical="center"/>
    </xf>
    <!-- 7: Data Text Left (Urun Kodu ve Adi) -->
    <xf numFmtId="0" fontId="0" fillId="0" borderId="1" xfId="0" applyFont="1" applyBorder="1" applyAlignment="1">
      <alignment horizontal="left" vertical="center"/>
    </xf>
    <!-- 8: Data Number (Teorik ve Sayilan Stok) -->
    <xf numFmtId="165" fontId="0" fillId="0" borderId="1" xfId="0" applyFont="1" applyBorder="1" applyNumberFormat="1" applyAlignment="1">
      <alignment horizontal="right" vertical="center"/>
    </xf>
    <!-- 9: Data Fark Miktari (+/-) -->
    <xf numFmtId="166" fontId="0" fillId="0" borderId="1" xfId="0" applyFont="1" applyBorder="1" applyNumberFormat="1" applyAlignment="1">
      <alignment horizontal="right" vertical="center"/>
    </xf>
    <!-- 10: Data Sapma Yuzdesi (%) -->
    <xf numFmtId="164" fontId="0" fillId="0" borderId="1" xfId="0" applyFont="1" applyBorder="1" applyNumberFormat="1" applyAlignment="1">
      <alignment horizontal="right" vertical="center"/>
    </xf>
    <!-- 11: Status NORMAL (Green) -->
    <xf numFmtId="0" fontId="6" fillId="5" borderId="1" xfId="0" applyFont="1" applyFill="1" applyBorder="1" applyAlignment="1">
      <alignment horizontal="center" vertical="center"/>
    </xf>
    <!-- 12: Status KRITIK SAPMA (Red) -->
    <xf numFmtId="0" fontId="5" fillId="4" borderId="1" xfId="0" applyFont="1" applyFill="1" applyBorder="1" applyAlignment="1">
      <alignment horizontal="center" vertical="center"/>
    </xf>
    <!-- 13: Data Neden / Aciklama (Left) -->
    <xf numFmtId="0" fontId="0" fillId="0" borderId="1" xfId="0" applyFont="1" applyBorder="1" applyAlignment="1">
      <alignment horizontal="left" vertical="center"/>
    </xf>
    <!-- 14: Total Label (Right, Bold, Total Border, Fill 6) -->
    <xf numFmtId="0" fontId="7" fillId="6" borderId="4" xfId="0" applyFont="1" applyFill="1" applyBorder="1" applyAlignment="1">
      <alignment horizontal="right" vertical="center"/>
    </xf>
    <!-- 15: Total Qty / Number (Right, Bold, Total Border, Fill 6) -->
    <xf numFmtId="165" fontId="7" fillId="6" borderId="4" xfId="0" applyFont="1" applyFill="1" applyBorder="1" applyNumberFormat="1" applyAlignment="1">
      <alignment horizontal="right" vertical="center"/>
    </xf>
    <!-- 16: Total Fark (Right, Bold, Total Border, Fill 6) -->
    <xf numFmtId="166" fontId="7" fillId="6" borderId="4" xfId="0" applyFont="1" applyFill="1" applyBorder="1" applyNumberFormat="1" applyAlignment="1">
      <alignment horizontal="right" vertical="center"/>
    </xf>
    <!-- 17: Total Yuzde (Right, Bold, Total Border, Fill 6) -->
    <xf numFmtId="164" fontId="7" fillId="6" borderId="4" xfId="0" applyFont="1" applyFill="1" applyBorder="1" applyNumberFormat="1" applyAlignment="1">
      <alignment horizontal="right" vertical="center"/>
    </xf>
  </cellXfs>
  <dxfs count="2">
    <!-- 0: CF Rule Red for Kritik -->
    <dxf>
      <font>
        <b/>
        <color rgb="9C0006"/>
      </font>
      <fill>
        <patternFill patternType="solid">
          <fgColor rgb="FFC7CE"/>
          <bgColor indexed="64"/>
        </patternFill>
      </fill>
    </dxf>
    <!-- 1: CF Rule Green for Normal -->
    <dxf>
      <font>
        <b/>
        <color rgb="006100"/>
      </font>
      <fill>
        <patternFill patternType="solid">
          <fgColor rgb="C6EFCE"/>
          <bgColor indexed="64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 standalone="yes"?>
<worksheet xmlns="http://schemas.openxmlformats.org/spreadsheetml/2006/main">
  <sheetViews>
    <sheetView tabSelected="1" workbookViewId="0" showGridLines="true"/>
  </sheetViews>
  <sheetFormatPr defaultRowHeight="22"/>
  <cols>
    <col min="1" max="1" width="16" customWidth="1"/>
    <col min="2" max="2" width="38" customWidth="1"/>
    <col min="3" max="3" width="22" customWidth="1"/>
    <col min="4" max="4" width="22" customWidth="1"/>
    <col min="5" max="5" width="18" customWidth="1"/>
    <col min="6" max="6" width="16" customWidth="1"/>
    <col min="7" max="7" width="28" customWidth="1"/>
    <col min="8" max="8" width="46" customWidth="1"/>
  </cols>
  <sheetData>
    <row r="1" ht="26" customHeight="1">
      <c r="A1" s="1" t="inlineStr"><is><t>FLORYA MEV KOLEJÄ° - AYLIK DEPO SAYIM VE FÄ°RE MUTABAKAT RAPORU</t></is></c>
      <c r="B1" s="1"/>
      <c r="C1" s="1"/>
      <c r="D1" s="1"/>
      <c r="E1" s="1"/>
      <c r="F1" s="1"/>
      <c r="G1" s="1"/>
      <c r="H1" s="1"/>
    </row>
    <row r="2" ht="18" customHeight="1">
      <c r="A2" s="2" t="inlineStr"><is><t>DÃ¶nem Sonu Teorik ve Fiziki Stok Fark Analizi | HACCP &amp; Maliyet Kontrol Denetimi</t></is></c>
      <c r="B2" s="2"/>
      <c r="C2" s="2"/>
      <c r="D2" s="2"/>
      <c r="E2" s="2"/>
      <c r="F2" s="2"/>
      <c r="G2" s="2"/>
      <c r="H2" s="2"/>
    </row>
    <row r="3" ht="8" customHeight="1"/>
    <row r="4" ht="22" customHeight="1">
      <c r="A4" s="3" t="inlineStr"><is><t>Rapor Tarihi:</t></is></c>
      <c r="B4" s="4" t="inlineStr"><is><t>12.09.2026</t></is></c>
      <c r="C4" s="3" t="inlineStr"><is><t>SayÄ±m DÃ¶nemi:</t></is></c>
      <c r="D4" s="4" t="inlineStr"><is><t>2026-EylÃ¼l DÃ¶nemi AylÄ±k SayÄ±mÄ±</t></is></c>
      <c r="E4" s="3" t="inlineStr"><is><t>Proje MÃ¼dÃ¼rÃ¼:</t></is></c>
      <c r="F4" s="4" t="inlineStr"><is><t>Erva Yunus</t></is></c>
      <c r="G4" s="3" t="inlineStr"><is><t>Tolerans Kriteri:</t></is></c>
      <c r="H4" s="4" t="inlineStr"><is><t>Maks. -%1.00 Kabul Edilebilir Fire</t></is></c>
    </row>
    <row r="5" ht="22" customHeight="1">
      <c r="A5" s="3" t="inlineStr"><is><t>SayÄ±m Ekibi:</t></is></c>
      <c r="B5" s="4" t="inlineStr"><is><t>Depo ve Mutfak SayÄ±m Komisyonu</t></is></c>
      <c r="C5" s="3" t="inlineStr"><is><t>Denetim KuralÄ±:</t></is></c>
      <c r="D5" s="4" t="inlineStr"><is><t>KÃ¶r SayÄ±m &amp; FEFO Uyumu</t></is></c>
      <c r="E5" s="3" t="inlineStr"><is><t>YÃ¶netici OnayÄ±:</t></is></c>
      <c r="F5" s="4" t="inlineStr"><is><t>[X] Ä°ncelendi ve OnaylandÄ± (E. Yunus)</t></is></c>
      <c r="G5" s="3" t="inlineStr"><is><t>Aksiyon Durumu:</t></is></c>
      <c r="H5" s="4" t="inlineStr"><is><t>2 ÃœrÃ¼nde Ä°nceleme BaÅŸlatÄ±ldÄ±</t></is></c>
    </row>
    <row r="6" ht="8" customHeight="1"/>
    <row r="7" ht="30" customHeight="1">
      <c r="A7" s="5" t="inlineStr"><is><t>Depo / BÃ¶lÃ¼m</t></is></c>
      <c r="B7" s="5" t="inlineStr"><is><t>ÃœrÃ¼n Kodu ve AdÄ±</t></is></c>
      <c r="C7" s="5" t="inlineStr"><is><t>Sistemdeki Teorik Stok (kg/L/Adet)</t></is></c>
      <c r="D7" s="5" t="inlineStr"><is><t>Fiziksel SayÄ±lan Miktar</t></is></c>
      <c r="E7" s="5" t="inlineStr"><is><t>Fark MiktarÄ±</t></is></c>
      <c r="F7" s="5" t="inlineStr"><is><t>Sapma YÃ¼zdesi</t></is></c>
      <c r="G7" s="5" t="inlineStr"><is><t>Durum / UyarÄ±</t></is></c>
      <c r="H7" s="5" t="inlineStr"><is><t>Tespit Edilen Neden / AÃ§Ä±klama</t></is></c>
    </row>
    <row r="8" ht="22" customHeight="1">
      <c r="A8" s="6" t="inlineStr"><is><t>Kuru Depo</t></is></c>
      <c r="B8" s="7" t="inlineStr"><is><t>KD-101 Baldo PirinÃ§ (kg)</t></is></c>
      <c r="C8" s="8"><v>150.00</v></c>
      <c r="D8" s="8"><v>150.00</v></c>
      <c r="E8" s="9"><f>D8-C8</f><v>0.00</v></c>
      <c r="F8" s="10"><f>E8/C8</f><v>0.0000</v></c>
      <c r="G8" s="11" t="inlineStr"><f>IF(F8&lt;-0.01,"KRÄ°TÄ°K SAPMA (Ä°NCELEME)","NORMAL")</f><v>NORMAL</v></c>
      <c r="H8" s="13" t="inlineStr"><is><t>Tam mutabakat, ambalaj saÄŸlam.</t></is></c>
    </row>
    <row r="9" ht="22" customHeight="1">
      <c r="A9" s="6" t="inlineStr"><is><t>Kuru Depo</t></is></c>
      <c r="B9" s="7" t="inlineStr"><is><t>KD-102 Ä°spir Kuru Fasulye (kg)</t></is></c>
      <c r="C9" s="8"><v>80.00</v></c>
      <c r="D9" s="8"><v>79.50</v></c>
      <c r="E9" s="9"><f>D9-C9</f><v>-0.50</v></c>
      <c r="F9" s="10"><f>E9/C9</f><v>-0.0062</v></c>
      <c r="G9" s="11" t="inlineStr"><f>IF(F9&lt;-0.01,"KRÄ°TÄ°K SAPMA (Ä°NCELEME)","NORMAL")</f><v>NORMAL</v></c>
      <c r="H9" s="13" t="inlineStr"><is><t>TaÅŸ/Ã§Ã¶p ayÄ±klama ve nem firesi (Tolerans iÃ§i < %1).</t></is></c>
    </row>
    <row r="10" ht="22" customHeight="1">
      <c r="A10" s="6" t="inlineStr"><is><t>Kuru Depo</t></is></c>
      <c r="B10" s="7" t="inlineStr"><is><t>KD-103 AyÃ§iÃ§ek YaÄŸÄ± (5L Teneke)</t></is></c>
      <c r="C10" s="8"><v>40.00</v></c>
      <c r="D10" s="8"><v>40.00</v></c>
      <c r="E10" s="9"><f>D10-C10</f><v>0.00</v></c>
      <c r="F10" s="10"><f>E10/C10</f><v>0.0000</v></c>
      <c r="G10" s="11" t="inlineStr"><f>IF(F10&lt;-0.01,"KRÄ°TÄ°K SAPMA (Ä°NCELEME)","NORMAL")</f><v>NORMAL</v></c>
      <c r="H10" s="13" t="inlineStr"><is><t>Tam mutabakat, tenekeler saÄŸlam ve mÃ¼hÃ¼rlÃ¼.</t></is></c>
    </row>
    <row r="11" ht="22" customHeight="1">
      <c r="A11" s="6" t="inlineStr"><is><t>Kuru Depo</t></is></c>
      <c r="B11" s="7" t="inlineStr"><is><t>KD-104 Ekmeklik BuÄŸday Unu (Koli)</t></is></c>
      <c r="C11" s="8"><v>8.00</v></c>
      <c r="D11" s="8"><v>7.75</v></c>
      <c r="E11" s="9"><f>D11-C11</f><v>-0.25</v></c>
      <c r="F11" s="10"><f>E11/C11</f><v>-0.0312</v></c>
      <c r="G11" s="12" t="inlineStr"><f>IF(F11&lt;-0.01,"KRÄ°TÄ°K SAPMA (Ä°NCELEME)","NORMAL")</f><v>KRÄ°TÄ°K SAPMA (Ä°NCELEME)</v></c>
      <c r="H11" s="13" t="inlineStr"><is><t>Ã‡uval yÄ±rtÄ±lmasÄ± ve dÃ¶kÃ¼lme kaynaklÄ± hasar; tutanak tutuldu.</t></is></c>
    </row>
    <row r="12" ht="22" customHeight="1">
      <c r="A12" s="6" t="inlineStr"><is><t>Kuru Depo</t></is></c>
      <c r="B12" s="7" t="inlineStr"><is><t>KD-106 Domates SalÃ§asÄ± (Teneke)</t></is></c>
      <c r="C12" s="8"><v>6.00</v></c>
      <c r="D12" s="8"><v>6.00</v></c>
      <c r="E12" s="9"><f>D12-C12</f><v>0.00</v></c>
      <c r="F12" s="10"><f>E12/C12</f><v>0.0000</v></c>
      <c r="G12" s="11" t="inlineStr"><f>IF(F12&lt;-0.01,"KRÄ°TÄ°K SAPMA (Ä°NCELEME)","NORMAL")</f><v>NORMAL</v></c>
      <c r="H12" s="13" t="inlineStr"><is><t>Tam mutabakat, sÄ±zÄ±ntÄ±/hasar yok.</t></is></c>
    </row>
    <row r="13" ht="22" customHeight="1">
      <c r="A13" s="6" t="inlineStr"><is><t>SoÄŸuk Depo</t></is></c>
      <c r="B13" s="7" t="inlineStr"><is><t>SD-201 PastÃ¶rize Taze KaÅŸar (kg)</t></is></c>
      <c r="C13" s="8"><v>35.00</v></c>
      <c r="D13" s="8"><v>34.75</v></c>
      <c r="E13" s="9"><f>D13-C13</f><v>-0.25</v></c>
      <c r="F13" s="10"><f>E13/C13</f><v>-0.0071</v></c>
      <c r="G13" s="11" t="inlineStr"><f>IF(F13&lt;-0.01,"KRÄ°TÄ°K SAPMA (Ä°NCELEME)","NORMAL")</f><v>NORMAL</v></c>
      <c r="H13" s="13" t="inlineStr"><is><t>Dilimleme ve dÄ±ÅŸ kabuk soyma firesi (Tolerans iÃ§i < %1).</t></is></c>
    </row>
    <row r="14" ht="22" customHeight="1">
      <c r="A14" s="6" t="inlineStr"><is><t>SoÄŸuk Depo</t></is></c>
      <c r="B14" s="7" t="inlineStr"><is><t>SD-202 Tam YaÄŸlÄ± Tava YoÄŸurt (Koli)</t></is></c>
      <c r="C14" s="8"><v>12.00</v></c>
      <c r="D14" s="8"><v>12.00</v></c>
      <c r="E14" s="9"><f>D14-C14</f><v>0.00</v></c>
      <c r="F14" s="10"><f>E14/C14</f><v>0.0000</v></c>
      <c r="G14" s="11" t="inlineStr"><f>IF(F14&lt;-0.01,"KRÄ°TÄ°K SAPMA (Ä°NCELEME)","NORMAL")</f><v>NORMAL</v></c>
      <c r="H14" s="13" t="inlineStr"><is><t>Tam mutabakat, soÄŸuk zincir korundu.</t></is></c>
    </row>
    <row r="15" ht="22" customHeight="1">
      <c r="A15" s="6" t="inlineStr"><is><t>SoÄŸuk Depo</t></is></c>
      <c r="B15" s="7" t="inlineStr"><is><t>SD-203 Taze Dana TranÃ§ (kg)</t></is></c>
      <c r="C15" s="8"><v>65.00</v></c>
      <c r="D15" s="8"><v>63.20</v></c>
      <c r="E15" s="9"><f>D15-C15</f><v>-1.80</v></c>
      <c r="F15" s="10"><f>E15/C15</f><v>-0.0277</v></c>
      <c r="G15" s="12" t="inlineStr"><f>IF(F15&lt;-0.01,"KRÄ°TÄ°K SAPMA (Ä°NCELEME)","NORMAL")</f><v>KRÄ°TÄ°K SAPMA (Ä°NCELEME)</v></c>
      <c r="H15" s="13" t="inlineStr"><is><t>Kasap sinir/yaÄŸ ayÄ±klama firesi ve porsiyonlama sapmasÄ±; ÅŸef incelemesinde.</t></is></c>
    </row>
    <row r="16" ht="22" customHeight="1">
      <c r="A16" s="6" t="inlineStr"><is><t>SoÄŸuk Depo</t></is></c>
      <c r="B16" s="7" t="inlineStr"><is><t>SD-204 Taze BÃ¼tÃ¼n Tavuk But (kg)</t></is></c>
      <c r="C16" s="8"><v>85.00</v></c>
      <c r="D16" s="8"><v>84.40</v></c>
      <c r="E16" s="9"><f>D16-C16</f><v>-0.60</v></c>
      <c r="F16" s="10"><f>E16/C16</f><v>-0.0071</v></c>
      <c r="G16" s="11" t="inlineStr"><f>IF(F16&lt;-0.01,"KRÄ°TÄ°K SAPMA (Ä°NCELEME)","NORMAL")</f><v>NORMAL</v></c>
      <c r="H16" s="13" t="inlineStr"><is><t>Damlama/Ã§Ã¶zÃ¼nme suyu ve kemik sÄ±yÄ±rma firesi (Tolerans iÃ§i < %1).</t></is></c>
    </row>
    <row r="17" ht="22" customHeight="1">
      <c r="A17" s="6" t="inlineStr"><is><t>Donuk Depo</t></is></c>
      <c r="B17" s="7" t="inlineStr"><is><t>DD-301 DondurulmuÅŸ Bezelye (Koli)</t></is></c>
      <c r="C17" s="8"><v>30.00</v></c>
      <c r="D17" s="8"><v>30.00</v></c>
      <c r="E17" s="9"><f>D17-C17</f><v>0.00</v></c>
      <c r="F17" s="10"><f>E17/C17</f><v>0.0000</v></c>
      <c r="G17" s="11" t="inlineStr"><f>IF(F17&lt;-0.01,"KRÄ°TÄ°K SAPMA (Ä°NCELEME)","NORMAL")</f><v>NORMAL</v></c>
      <c r="H17" s="13" t="inlineStr"><is><t>Tam mutabakat, -18Â°C donuk zincir tam.</t></is></c>
    </row>
    <row r="18" ht="22" customHeight="1">
      <c r="A18" s="6" t="inlineStr"><is><t>Donuk Depo</t></is></c>
      <c r="B18" s="7" t="inlineStr"><is><t>DD-303 DondurulmuÅŸ Dana KuÅŸbaÅŸÄ± (kg)</t></is></c>
      <c r="C18" s="8"><v>120.00</v></c>
      <c r="D18" s="8"><v>119.20</v></c>
      <c r="E18" s="9"><f>D18-C18</f><v>-0.80</v></c>
      <c r="F18" s="10"><f>E18/C18</f><v>-0.0067</v></c>
      <c r="G18" s="11" t="inlineStr"><f>IF(F18&lt;-0.01,"KRÄ°TÄ°K SAPMA (Ä°NCELEME)","NORMAL")</f><v>NORMAL</v></c>
      <c r="H18" s="13" t="inlineStr"><is><t>TartÄ±m hassasiyeti ve ÅŸoklu buz firesi (Tolerans iÃ§i < %1).</t></is></c>
    </row>
    <row r="19" ht="25" customHeight="1">
      <c r="A19" s="14" t="inlineStr"><is><t>GENEL TOPLAM</t></is></c>
      <c r="B19" s="14"/>
      <c r="C19" s="15"><f>SUM(C18)</f><v>631.00</v></c>
      <c r="D19" s="15"><f>SUM(D18)</f><v>626.80</v></c>
      <c r="E19" s="16"><f>SUM(E18)</f><v>-4.20</v></c>
      <c r="F19" s="17"><f>E19/C19</f><v>-0.0067</v></c>
      <c r="G19" s="11" t="inlineStr"><f>IF(F19&lt;-0.01,"KRÄ°TÄ°K SAPMA (Ä°NCELEME)","NORMAL")</f><v>NORMAL</v></c>
      <c r="H19" s="14" t="inlineStr"><is><t>Konsolide DÃ¶nem Sonu Net Fire Durumu</t></is></c>
    </row>
    <row r="20" ht="10" customHeight="1"/>
    <row r="21" ht="20" customHeight="1">
      <c r="A21" s="3" t="inlineStr"><is><t>YÃ–NETÄ°CÄ° DEÄERLENDÄ°RMESÄ° VE AKSÄ°YON PLANI (Erva Yunus - Proje MÃ¼dÃ¼rÃ¼):</t></is></c>
      <c r="B21" s="3"/>
      <c r="C21" s="3"/>
      <c r="D21" s="3"/>
      <c r="E21" s="3"/>
      <c r="F21" s="3"/>
      <c r="G21" s="3"/>
      <c r="H21" s="3"/>
    </row>
    <row r="22" ht="18" customHeight="1">
      <c r="A22" s="13" t="inlineStr"><is><t>1. Ekmeklik BuÄŸday Unu (-%3.13): TaÅŸÄ±ma esnasÄ±nda patlayan Ã§uval iÃ§in lojistik tutanaÄŸÄ± dÃ¼zenlenmiÅŸ, tedarikÃ§iden telafi un talep edilmiÅŸtir.</t></is></c>
    </row>
    <row r="23" ht="18" customHeight="1">
      <c r="A23" s="13" t="inlineStr"><is><t>2. Taze Dana TranÃ§ (-%2.77): AyÄ±klama ve kuÅŸbaÅŸÄ± porsiyonlama firesi Ã¼st limit aÅŸÄ±mÄ± nedeniyle mutfak kasap ÅŸefi gÃ¶zetim altÄ±na alÄ±nmÄ±ÅŸtÄ±r.</t></is></c>
    </row>
    <row r="24" ht="18" customHeight="1">
      <c r="A24" s="13" t="inlineStr"><is><t>3. DiÄŸer tÃ¼m kalemlerdeki fire oranlarÄ± MEB ve HACCP gÄ±da gÃ¼venliÄŸi tolerans sÄ±nÄ±rÄ± olan (Â±%1.0) bandÄ± iÃ§erisinde kalmaktadÄ±r.</t></is></c>
    </row>
  </sheetData>
  <conditionalFormatting sqref="G8:G19">
    <cfRule type="cellIs" dxfId="0" priority="1" operator="equal">
      <formula>&quot;KRÄ°TÄ°K SAPMA (Ä°NCELEME)&quot;</formula>
    </cfRule>
    <cfRule type="cellIs" dxfId="1" priority="2" operator="equal">
      <formula>&quot;NORMAL&quot;</formula>
    </cfRule>
  </conditionalFormatting>
  <mergeCells count="3">
    <mergeCell ref="A1:H1"/>
    <mergeCell ref="A2:H2"/>
    <mergeCell ref="A21:H21"/>
  </mergeCells>
  <pageMargins left="0.4" right="0.4" top="0.6" bottom="0.6" header="0.3" footer="0.3"/>
  <pageSetup paperSize="9" orientation="landscape" fitToWidth="1" fitToHeight="0"/>
</worksheet>

</file>